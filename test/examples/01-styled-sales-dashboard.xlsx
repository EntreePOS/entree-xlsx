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Dashboard" sheetId="1" r:id="rId1"/>
    <sheet name="Data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$#,##0;[Red]-$#,##0"/>
    <numFmt numFmtId="165" formatCode="0.0%"/>
    <numFmt numFmtId="166" formatCode="yyyy-mm-dd"/>
  </numFmts>
  <fonts count="7">
    <font>
      <sz val="11"/>
      <color theme="1"/>
      <name val="Calibri"/>
      <family val="2"/>
      <scheme val="minor"/>
    </font>
    <font>
      <sz val="11"/>
      <name val="Aptos"/>
    </font>
    <font>
      <b/>
      <sz val="22"/>
      <color rgb="FFFFFFFF"/>
      <name val="Aptos Display"/>
    </font>
    <font>
      <b/>
      <sz val="13"/>
      <color rgb="FF17324D"/>
      <name val="Aptos"/>
    </font>
    <font>
      <b/>
      <sz val="11"/>
      <color rgb="FFFFFFFF"/>
      <name val="Aptos"/>
    </font>
    <font>
      <i/>
      <sz val="11"/>
      <color rgb="FF666666"/>
      <name val="Aptos"/>
    </font>
    <font>
      <b/>
      <sz val="20"/>
      <color rgb="FF17324D"/>
      <name val="Aptos"/>
    </font>
  </fonts>
  <fills count="9">
    <fill>
      <patternFill patternType="none"/>
    </fill>
    <fill>
      <patternFill patternType="gray125"/>
    </fill>
    <fill>
      <gradientFill degree="0">
        <stop position="0">
          <color rgb="FF17324D"/>
        </stop>
        <stop position="1">
          <color rgb="FF2F75B5"/>
        </stop>
      </gradientFill>
    </fill>
    <fill>
      <patternFill patternType="solid">
        <fgColor rgb="FFD9EA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17324D"/>
      </bottom>
      <diagonal/>
    </border>
  </borders>
  <cellStyleXfs count="14">
    <xf numFmtId="0" fontId="0" fillId="0" borderId="0"/>
    <xf numFmtId="0" fontId="1" fillId="0" borderId="0" applyFont="1" applyAlignment="1">
      <alignment vertical="center"/>
    </xf>
    <xf numFmtId="0" fontId="2" fillId="2" borderId="0" applyFont="1" applyFill="1" applyAlignment="1">
      <alignment vertical="center" horizontal="left"/>
    </xf>
    <xf numFmtId="0" fontId="3" fillId="3" borderId="1" applyFont="1" applyFill="1" applyBorder="1" applyAlignment="1">
      <alignment vertical="center"/>
    </xf>
    <xf numFmtId="0" fontId="4" fillId="4" borderId="2" applyFont="1" applyFill="1" applyBorder="1" applyAlignment="1">
      <alignment vertical="center" horizontal="center" wrapText="1"/>
    </xf>
    <xf numFmtId="164" fontId="1" fillId="0" borderId="0" applyFont="1" applyNumberFormat="1" applyAlignment="1">
      <alignment vertical="center"/>
    </xf>
    <xf numFmtId="165" fontId="1" fillId="0" borderId="0" applyFont="1" applyNumberFormat="1" applyAlignment="1">
      <alignment vertical="center"/>
    </xf>
    <xf numFmtId="3" fontId="1" fillId="0" borderId="0" applyFont="1" applyNumberFormat="1" applyAlignment="1">
      <alignment vertical="center"/>
    </xf>
    <xf numFmtId="166" fontId="1" fillId="0" borderId="0" applyFont="1" applyNumberFormat="1" applyAlignment="1">
      <alignment vertical="center"/>
    </xf>
    <xf numFmtId="0" fontId="1" fillId="5" borderId="0" applyFont="1" applyFill="1" applyAlignment="1" applyProtection="1">
      <alignment vertical="center"/>
      <protection locked="0"/>
    </xf>
    <xf numFmtId="0" fontId="5" fillId="0" borderId="0" applyFont="1" applyAlignment="1">
      <alignment vertical="center" wrapText="1"/>
    </xf>
    <xf numFmtId="0" fontId="3" fillId="6" borderId="1" applyFont="1" applyFill="1" applyBorder="1" applyAlignment="1">
      <alignment vertical="center"/>
    </xf>
    <xf numFmtId="0" fontId="4" fillId="7" borderId="2" applyFont="1" applyFill="1" applyBorder="1" applyAlignment="1">
      <alignment vertical="center" horizontal="center" wrapText="1"/>
    </xf>
    <xf numFmtId="0" fontId="1" fillId="8" borderId="0" applyFont="1" applyFill="1" applyAlignment="1" applyProtection="1">
      <alignment vertical="center"/>
      <protection locked="0"/>
    </xf>
  </cellStyleXfs>
  <cellXfs count="9">
    <xf numFmtId="0" fontId="0" fillId="0" borderId="0" xfId="0"/>
    <xf numFmtId="0" fontId="2" fillId="2" borderId="0" xfId="2" applyFont="1" applyFill="1" applyAlignment="1">
      <alignment vertical="center" horizontal="left"/>
    </xf>
    <xf numFmtId="0" fontId="3" fillId="3" borderId="1" xfId="3" applyFont="1" applyFill="1" applyBorder="1" applyAlignment="1">
      <alignment vertical="center"/>
    </xf>
    <xf numFmtId="164" fontId="6" fillId="0" borderId="0" xfId="5" applyFont="1" applyNumberFormat="1" applyAlignment="1">
      <alignment vertical="center" horizontal="center"/>
    </xf>
    <xf numFmtId="165" fontId="6" fillId="0" borderId="0" xfId="6" applyFont="1" applyNumberFormat="1" applyAlignment="1">
      <alignment vertical="center" horizontal="center"/>
    </xf>
    <xf numFmtId="0" fontId="4" fillId="4" borderId="2" xfId="4" applyFont="1" applyFill="1" applyBorder="1" applyAlignment="1">
      <alignment vertical="center" horizontal="center" wrapText="1"/>
    </xf>
    <xf numFmtId="164" fontId="1" fillId="0" borderId="0" xfId="5" applyFont="1" applyNumberFormat="1" applyAlignment="1">
      <alignment vertical="center"/>
    </xf>
    <xf numFmtId="0" fontId="5" fillId="0" borderId="0" xfId="10" applyFont="1" applyAlignment="1">
      <alignment vertical="center" wrapText="1"/>
    </xf>
    <xf numFmtId="165" fontId="1" fillId="0" borderId="0" xfId="6" applyFont="1" applyNumberFormat="1" applyAlignment="1">
      <alignment vertical="center"/>
    </xf>
  </cellXfs>
  <cellStyles count="11">
    <cellStyle name="Normal" xfId="0" builtinId="0"/>
    <cellStyle name="body" xfId="1"/>
    <cellStyle name="title" xfId="2"/>
    <cellStyle name="section" xfId="11"/>
    <cellStyle name="header" xfId="12"/>
    <cellStyle name="currency" xfId="5"/>
    <cellStyle name="percent" xfId="6"/>
    <cellStyle name="integer" xfId="7"/>
    <cellStyle name="date" xfId="8"/>
    <cellStyle name="input" xfId="13"/>
    <cellStyle name="note" xfId="1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/>
              <a:t>Revenue and Gross Profit by Month ($)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'Dashboard'!$B$8</c:f>
            </c:strRef>
          </c:tx>
          <c:cat>
            <c:strRef>
              <c:f>'Dashboard'!$A$9:$A$20</c:f>
            </c:strRef>
          </c:cat>
          <c:val>
            <c:numRef>
              <c:f>'Dashboard'!$B$9:$B$20</c:f>
            </c:numRef>
          </c:val>
        </c:ser>
        <c:ser>
          <c:idx val="1"/>
          <c:order val="1"/>
          <c:tx>
            <c:strRef>
              <c:f>'Dashboard'!$C$8</c:f>
            </c:strRef>
          </c:tx>
          <c:cat>
            <c:strRef>
              <c:f>'Dashboard'!$A$9:$A$20</c:f>
            </c:strRef>
          </c:cat>
          <c:val>
            <c:numRef>
              <c:f>'Dashboard'!$C$9:$C$20</c:f>
            </c:numRef>
          </c:val>
        </c:ser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Gridlines/>
        <c:tickLblPos val="nextTo"/>
        <c:crossAx val="48650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1" max="1" width="13" customWidth="1"/>
    <col min="2" max="2" width="15" customWidth="1"/>
    <col min="3" max="3" width="16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</cols>
  <sheetData>
    <row r="1" ht="27" customHeight="1">
      <c r="A1" s="1" t="inlineStr">
        <is>
          <t>SALES PERFORMANCE DASHBOARD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>
      <c r="A4" s="2" t="inlineStr">
        <is>
          <t>Revenue</t>
        </is>
      </c>
      <c r="B4" s="2"/>
      <c r="C4" s="2"/>
      <c r="D4" s="2" t="inlineStr">
        <is>
          <t>Gross Profit</t>
        </is>
      </c>
      <c r="E4" s="2"/>
      <c r="F4" s="2"/>
      <c r="G4" s="2" t="inlineStr">
        <is>
          <t>Average Margin</t>
        </is>
      </c>
      <c r="H4" s="2"/>
      <c r="I4" s="2"/>
    </row>
    <row r="5">
      <c r="A5" s="3">
        <f>SUM(Data!B2:B13)</f>
        <v>1295500</v>
      </c>
      <c r="D5" s="3">
        <f>SUM(Data!D2:D13)</f>
        <v>444400</v>
      </c>
      <c r="G5" s="4">
        <f>AVERAGE(Data!E2:E13)</f>
        <v>0.34303357776920107</v>
      </c>
    </row>
    <row r="8">
      <c r="A8" s="5" t="inlineStr">
        <is>
          <t>Month</t>
        </is>
      </c>
      <c r="B8" s="5" t="inlineStr">
        <is>
          <t>Revenue</t>
        </is>
      </c>
      <c r="C8" s="5" t="inlineStr">
        <is>
          <t>Gross Profit</t>
        </is>
      </c>
    </row>
    <row r="9">
      <c r="A9" t="inlineStr">
        <is>
          <t>Jan</t>
        </is>
      </c>
      <c r="B9" s="6">
        <v>82000</v>
      </c>
      <c r="C9" s="6">
        <v>25900</v>
      </c>
    </row>
    <row r="10">
      <c r="A10" t="inlineStr">
        <is>
          <t>Feb</t>
        </is>
      </c>
      <c r="B10" s="6">
        <v>87500</v>
      </c>
      <c r="C10" s="6">
        <v>28100</v>
      </c>
    </row>
    <row r="11">
      <c r="A11" t="inlineStr">
        <is>
          <t>Mar</t>
        </is>
      </c>
      <c r="B11" s="6">
        <v>91000</v>
      </c>
      <c r="C11" s="6">
        <v>29500</v>
      </c>
    </row>
    <row r="12">
      <c r="A12" t="inlineStr">
        <is>
          <t>Apr</t>
        </is>
      </c>
      <c r="B12" s="6">
        <v>94800</v>
      </c>
      <c r="C12" s="6">
        <v>31000</v>
      </c>
    </row>
    <row r="13">
      <c r="A13" t="inlineStr">
        <is>
          <t>May</t>
        </is>
      </c>
      <c r="B13" s="6">
        <v>101200</v>
      </c>
      <c r="C13" s="6">
        <v>33500</v>
      </c>
    </row>
    <row r="14">
      <c r="A14" t="inlineStr">
        <is>
          <t>Jun</t>
        </is>
      </c>
      <c r="B14" s="6">
        <v>106500</v>
      </c>
      <c r="C14" s="6">
        <v>36300</v>
      </c>
    </row>
    <row r="15">
      <c r="A15" t="inlineStr">
        <is>
          <t>Jul</t>
        </is>
      </c>
      <c r="B15" s="6">
        <v>112300</v>
      </c>
      <c r="C15" s="6">
        <v>38700</v>
      </c>
    </row>
    <row r="16">
      <c r="A16" t="inlineStr">
        <is>
          <t>Aug</t>
        </is>
      </c>
      <c r="B16" s="6">
        <v>109800</v>
      </c>
      <c r="C16" s="6">
        <v>37300</v>
      </c>
    </row>
    <row r="17">
      <c r="A17" t="inlineStr">
        <is>
          <t>Sep</t>
        </is>
      </c>
      <c r="B17" s="6">
        <v>118400</v>
      </c>
      <c r="C17" s="6">
        <v>41500</v>
      </c>
    </row>
    <row r="18">
      <c r="A18" t="inlineStr">
        <is>
          <t>Oct</t>
        </is>
      </c>
      <c r="B18" s="6">
        <v>123600</v>
      </c>
      <c r="C18" s="6">
        <v>44100</v>
      </c>
    </row>
    <row r="19">
      <c r="A19" t="inlineStr">
        <is>
          <t>Nov</t>
        </is>
      </c>
      <c r="B19" s="6">
        <v>129900</v>
      </c>
      <c r="C19" s="6">
        <v>47100</v>
      </c>
    </row>
    <row r="20">
      <c r="A20" t="inlineStr">
        <is>
          <t>Dec</t>
        </is>
      </c>
      <c r="B20" s="6">
        <v>138500</v>
      </c>
      <c r="C20" s="6">
        <v>51400</v>
      </c>
    </row>
    <row r="22">
      <c r="A22" s="7" t="inlineStr">
        <is>
          <t>Example highlights: reusable named styles, cached Excel formulas, semantic number formats, merged KPI cards, and a native line chart.</t>
        </is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</sheetData>
  <mergeCells count="8">
    <mergeCell ref="A1:N2"/>
    <mergeCell ref="A4:C4"/>
    <mergeCell ref="D4:F4"/>
    <mergeCell ref="G4:I4"/>
    <mergeCell ref="A5:C6"/>
    <mergeCell ref="D5:F6"/>
    <mergeCell ref="G5:I6"/>
    <mergeCell ref="A22:N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4" customWidth="1"/>
    <col min="5" max="5" width="18" customWidth="1"/>
  </cols>
  <sheetData>
    <row r="1" ht="30" customHeight="1">
      <c r="A1" s="5" t="inlineStr">
        <is>
          <t>Month</t>
        </is>
      </c>
      <c r="B1" s="5" t="inlineStr">
        <is>
          <t>Revenue</t>
        </is>
      </c>
      <c r="C1" s="5" t="inlineStr">
        <is>
          <t>Costs</t>
        </is>
      </c>
      <c r="D1" s="5" t="inlineStr">
        <is>
          <t>Gross Profit</t>
        </is>
      </c>
      <c r="E1" s="5" t="inlineStr">
        <is>
          <t>Margin</t>
        </is>
      </c>
    </row>
    <row r="2">
      <c r="A2" t="inlineStr">
        <is>
          <t>Jan</t>
        </is>
      </c>
      <c r="B2" s="6">
        <v>82000</v>
      </c>
      <c r="C2" s="6">
        <v>56100</v>
      </c>
      <c r="D2" s="6">
        <f>B2-C2</f>
        <v>25900</v>
      </c>
      <c r="E2" s="8">
        <f>D2/B2</f>
        <v>0.31585365853658537</v>
      </c>
    </row>
    <row r="3">
      <c r="A3" t="inlineStr">
        <is>
          <t>Feb</t>
        </is>
      </c>
      <c r="B3" s="6">
        <v>87500</v>
      </c>
      <c r="C3" s="6">
        <v>59400</v>
      </c>
      <c r="D3" s="6">
        <f>B3-C3</f>
        <v>28100</v>
      </c>
      <c r="E3" s="8">
        <f>D3/B3</f>
        <v>0.3211428571428571</v>
      </c>
    </row>
    <row r="4">
      <c r="A4" t="inlineStr">
        <is>
          <t>Mar</t>
        </is>
      </c>
      <c r="B4" s="6">
        <v>91000</v>
      </c>
      <c r="C4" s="6">
        <v>61500</v>
      </c>
      <c r="D4" s="6">
        <f>B4-C4</f>
        <v>29500</v>
      </c>
      <c r="E4" s="8">
        <f>D4/B4</f>
        <v>0.3241758241758242</v>
      </c>
    </row>
    <row r="5">
      <c r="A5" t="inlineStr">
        <is>
          <t>Apr</t>
        </is>
      </c>
      <c r="B5" s="6">
        <v>94800</v>
      </c>
      <c r="C5" s="6">
        <v>63800</v>
      </c>
      <c r="D5" s="6">
        <f>B5-C5</f>
        <v>31000</v>
      </c>
      <c r="E5" s="8">
        <f>D5/B5</f>
        <v>0.3270042194092827</v>
      </c>
    </row>
    <row r="6">
      <c r="A6" t="inlineStr">
        <is>
          <t>May</t>
        </is>
      </c>
      <c r="B6" s="6">
        <v>101200</v>
      </c>
      <c r="C6" s="6">
        <v>67700</v>
      </c>
      <c r="D6" s="6">
        <f>B6-C6</f>
        <v>33500</v>
      </c>
      <c r="E6" s="8">
        <f>D6/B6</f>
        <v>0.3310276679841897</v>
      </c>
    </row>
    <row r="7">
      <c r="A7" t="inlineStr">
        <is>
          <t>Jun</t>
        </is>
      </c>
      <c r="B7" s="6">
        <v>106500</v>
      </c>
      <c r="C7" s="6">
        <v>70200</v>
      </c>
      <c r="D7" s="6">
        <f>B7-C7</f>
        <v>36300</v>
      </c>
      <c r="E7" s="8">
        <f>D7/B7</f>
        <v>0.3408450704225352</v>
      </c>
    </row>
    <row r="8">
      <c r="A8" t="inlineStr">
        <is>
          <t>Jul</t>
        </is>
      </c>
      <c r="B8" s="6">
        <v>112300</v>
      </c>
      <c r="C8" s="6">
        <v>73600</v>
      </c>
      <c r="D8" s="6">
        <f>B8-C8</f>
        <v>38700</v>
      </c>
      <c r="E8" s="8">
        <f>D8/B8</f>
        <v>0.3446126447016919</v>
      </c>
    </row>
    <row r="9">
      <c r="A9" t="inlineStr">
        <is>
          <t>Aug</t>
        </is>
      </c>
      <c r="B9" s="6">
        <v>109800</v>
      </c>
      <c r="C9" s="6">
        <v>72500</v>
      </c>
      <c r="D9" s="6">
        <f>B9-C9</f>
        <v>37300</v>
      </c>
      <c r="E9" s="8">
        <f>D9/B9</f>
        <v>0.33970856102003644</v>
      </c>
    </row>
    <row r="10">
      <c r="A10" t="inlineStr">
        <is>
          <t>Sep</t>
        </is>
      </c>
      <c r="B10" s="6">
        <v>118400</v>
      </c>
      <c r="C10" s="6">
        <v>76900</v>
      </c>
      <c r="D10" s="6">
        <f>B10-C10</f>
        <v>41500</v>
      </c>
      <c r="E10" s="8">
        <f>D10/B10</f>
        <v>0.35050675675675674</v>
      </c>
    </row>
    <row r="11">
      <c r="A11" t="inlineStr">
        <is>
          <t>Oct</t>
        </is>
      </c>
      <c r="B11" s="6">
        <v>123600</v>
      </c>
      <c r="C11" s="6">
        <v>79500</v>
      </c>
      <c r="D11" s="6">
        <f>B11-C11</f>
        <v>44100</v>
      </c>
      <c r="E11" s="8">
        <f>D11/B11</f>
        <v>0.3567961165048544</v>
      </c>
    </row>
    <row r="12">
      <c r="A12" t="inlineStr">
        <is>
          <t>Nov</t>
        </is>
      </c>
      <c r="B12" s="6">
        <v>129900</v>
      </c>
      <c r="C12" s="6">
        <v>82800</v>
      </c>
      <c r="D12" s="6">
        <f>B12-C12</f>
        <v>47100</v>
      </c>
      <c r="E12" s="8">
        <f>D12/B12</f>
        <v>0.3625866050808314</v>
      </c>
    </row>
    <row r="13">
      <c r="A13" t="inlineStr">
        <is>
          <t>Dec</t>
        </is>
      </c>
      <c r="B13" s="6">
        <v>138500</v>
      </c>
      <c r="C13" s="6">
        <v>87100</v>
      </c>
      <c r="D13" s="6">
        <f>B13-C13</f>
        <v>51400</v>
      </c>
      <c r="E13" s="8">
        <f>D13/B13</f>
        <v>0.3711191335740072</v>
      </c>
    </row>
  </sheetData>
  <autoFilter ref="A1:E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Entree POS Sales Dashboard Example</dc:title>
  <dc:creator>Entree POS</dc:creator>
  <cp:lastModifiedBy>Entree POS</cp:lastModifiedBy>
  <dcterms:created xsi:type="dcterms:W3CDTF">2026-08-30T21:24:15.300Z</dcterms:created>
  <dcterms:modified xsi:type="dcterms:W3CDTF">2026-08-30T21:24:15.300Z</dcterms:modified>
</cp:coreProperties>
</file>